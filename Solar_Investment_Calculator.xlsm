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ortfolio\"/>
    </mc:Choice>
  </mc:AlternateContent>
  <xr:revisionPtr revIDLastSave="0" documentId="13_ncr:1_{F11DAA10-AA69-4AC3-9905-5640B4BDB7FC}" xr6:coauthVersionLast="47" xr6:coauthVersionMax="47" xr10:uidLastSave="{00000000-0000-0000-0000-000000000000}"/>
  <bookViews>
    <workbookView xWindow="-20610" yWindow="-120" windowWidth="20730" windowHeight="11040" xr2:uid="{B2F5AA82-3A80-48E9-8EEB-18433BA70D7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1" l="1"/>
  <c r="I12" i="1"/>
  <c r="I11" i="1"/>
  <c r="I13" i="1"/>
  <c r="I20" i="1"/>
  <c r="I19" i="1"/>
  <c r="I18" i="1"/>
  <c r="I17" i="1"/>
  <c r="I16" i="1"/>
  <c r="I15" i="1"/>
  <c r="I14" i="1"/>
  <c r="H11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N56" i="1"/>
  <c r="N57" i="1" s="1"/>
  <c r="N58" i="1" s="1"/>
  <c r="N59" i="1" s="1"/>
  <c r="N60" i="1" s="1"/>
  <c r="N61" i="1" s="1"/>
  <c r="N62" i="1" s="1"/>
  <c r="N63" i="1" s="1"/>
  <c r="N64" i="1" s="1"/>
  <c r="D17" i="1"/>
  <c r="D12" i="1"/>
  <c r="D15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F36" i="1" l="1"/>
  <c r="J11" i="1"/>
  <c r="N65" i="1"/>
  <c r="H14" i="1"/>
  <c r="H12" i="1"/>
  <c r="D11" i="1"/>
  <c r="J12" i="1"/>
  <c r="D20" i="1"/>
  <c r="D14" i="1"/>
  <c r="D13" i="1"/>
  <c r="J14" i="1" l="1"/>
  <c r="D16" i="1"/>
  <c r="D18" i="1"/>
  <c r="D19" i="1"/>
  <c r="H13" i="1"/>
  <c r="H15" i="1" l="1"/>
  <c r="J15" i="1"/>
  <c r="H16" i="1"/>
  <c r="J16" i="1"/>
  <c r="D36" i="1"/>
  <c r="H17" i="1" l="1"/>
  <c r="J17" i="1"/>
  <c r="H18" i="1" l="1"/>
  <c r="J18" i="1"/>
  <c r="H19" i="1" l="1"/>
  <c r="J19" i="1"/>
  <c r="H20" i="1" l="1"/>
  <c r="J20" i="1"/>
  <c r="I21" i="1" l="1"/>
  <c r="J21" i="1" s="1"/>
  <c r="H21" i="1"/>
  <c r="H22" i="1" l="1"/>
  <c r="I22" i="1"/>
  <c r="J22" i="1" s="1"/>
  <c r="H23" i="1" l="1"/>
  <c r="I23" i="1"/>
  <c r="J23" i="1" s="1"/>
  <c r="H24" i="1" l="1"/>
  <c r="I24" i="1"/>
  <c r="J24" i="1" s="1"/>
  <c r="H25" i="1" l="1"/>
  <c r="I25" i="1"/>
  <c r="J25" i="1" s="1"/>
  <c r="H26" i="1" l="1"/>
  <c r="I26" i="1"/>
  <c r="J26" i="1" s="1"/>
  <c r="H27" i="1" l="1"/>
  <c r="I27" i="1"/>
  <c r="J27" i="1" s="1"/>
  <c r="H28" i="1" l="1"/>
  <c r="I28" i="1"/>
  <c r="J28" i="1" s="1"/>
  <c r="H29" i="1" l="1"/>
  <c r="I29" i="1"/>
  <c r="J29" i="1" s="1"/>
  <c r="H30" i="1" l="1"/>
  <c r="I30" i="1"/>
  <c r="J30" i="1" s="1"/>
  <c r="H31" i="1" l="1"/>
  <c r="I31" i="1"/>
  <c r="J31" i="1" s="1"/>
  <c r="H32" i="1" l="1"/>
  <c r="I32" i="1"/>
  <c r="J32" i="1" s="1"/>
  <c r="H33" i="1" l="1"/>
  <c r="I33" i="1"/>
  <c r="J33" i="1" s="1"/>
  <c r="H34" i="1" l="1"/>
  <c r="I34" i="1"/>
  <c r="J34" i="1" s="1"/>
  <c r="I35" i="1" l="1"/>
  <c r="J35" i="1" s="1"/>
  <c r="H35" i="1"/>
  <c r="H36" i="1" s="1"/>
  <c r="M38" i="1" l="1"/>
  <c r="J13" i="1"/>
  <c r="I39" i="1" s="1"/>
  <c r="N12" i="1"/>
  <c r="J36" i="1" l="1"/>
</calcChain>
</file>

<file path=xl/sharedStrings.xml><?xml version="1.0" encoding="utf-8"?>
<sst xmlns="http://schemas.openxmlformats.org/spreadsheetml/2006/main" count="27" uniqueCount="24">
  <si>
    <t xml:space="preserve">monthy </t>
  </si>
  <si>
    <t>yearly</t>
  </si>
  <si>
    <t>monthly</t>
  </si>
  <si>
    <t>amount to invest a year</t>
  </si>
  <si>
    <t>monthly invest</t>
  </si>
  <si>
    <t>end of year return</t>
  </si>
  <si>
    <t>SOLAR</t>
  </si>
  <si>
    <t>Loan Amount =</t>
  </si>
  <si>
    <t>Monthly electricty cost w/ solar =</t>
  </si>
  <si>
    <t>S&amp;P 500 Annual return=</t>
  </si>
  <si>
    <t>Your personal tax rate =</t>
  </si>
  <si>
    <t>Yearly increase in electricty =</t>
  </si>
  <si>
    <t>Interest rate on Loan(enter w/ %)=</t>
  </si>
  <si>
    <t>ELECTRICTY BILL W/ SOLAR</t>
  </si>
  <si>
    <t>Monthly electricty cost w/o solar =</t>
  </si>
  <si>
    <t>Length of Loan (years) =</t>
  </si>
  <si>
    <t>Return on Investment</t>
  </si>
  <si>
    <t>Return After Taxes</t>
  </si>
  <si>
    <t>Total Cost =</t>
  </si>
  <si>
    <t>Savings by investing in the S&amp;P =</t>
  </si>
  <si>
    <t>Saving by investing w/ Solar =</t>
  </si>
  <si>
    <t>ELECTRICTY BILL W/O SOLAR</t>
  </si>
  <si>
    <t xml:space="preserve">S&amp;P Investment from extra money with NO SOLAR </t>
  </si>
  <si>
    <t>SOLAR INVESTMENT VS. S&amp;P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</si>
</sst>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0.0"/>
    <numFmt numFmtId="169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/>
    <xf numFmtId="0" fontId="2" fillId="0" borderId="0" xfId="0" applyFont="1"/>
    <xf numFmtId="168" fontId="0" fillId="0" borderId="0" xfId="0" applyNumberFormat="1"/>
    <xf numFmtId="1" fontId="0" fillId="0" borderId="0" xfId="0" applyNumberFormat="1"/>
    <xf numFmtId="2" fontId="0" fillId="0" borderId="0" xfId="0" applyNumberFormat="1" applyFont="1"/>
    <xf numFmtId="2" fontId="1" fillId="0" borderId="0" xfId="0" applyNumberFormat="1" applyFont="1"/>
    <xf numFmtId="2" fontId="0" fillId="0" borderId="0" xfId="0" applyNumberFormat="1" applyAlignment="1">
      <alignment horizontal="left"/>
    </xf>
    <xf numFmtId="0" fontId="0" fillId="0" borderId="0" xfId="0" applyFill="1"/>
    <xf numFmtId="0" fontId="1" fillId="0" borderId="0" xfId="0" applyFont="1" applyFill="1"/>
    <xf numFmtId="0" fontId="0" fillId="0" borderId="0" xfId="0" applyFill="1" applyAlignment="1">
      <alignment horizontal="right"/>
    </xf>
    <xf numFmtId="169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2</xdr:row>
          <xdr:rowOff>126999</xdr:rowOff>
        </xdr:from>
        <xdr:to>
          <xdr:col>3</xdr:col>
          <xdr:colOff>749300</xdr:colOff>
          <xdr:row>4</xdr:row>
          <xdr:rowOff>180974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825C-07A2-414F-96EC-E1760F53F078}">
  <sheetPr codeName="Sheet1"/>
  <dimension ref="A1:P65"/>
  <sheetViews>
    <sheetView tabSelected="1" workbookViewId="0">
      <selection activeCell="M35" sqref="M35"/>
    </sheetView>
  </sheetViews>
  <sheetFormatPr defaultRowHeight="14.5" x14ac:dyDescent="0.35"/>
  <cols>
    <col min="1" max="1" width="30" customWidth="1"/>
    <col min="3" max="3" width="16" customWidth="1"/>
    <col min="4" max="4" width="14.26953125" customWidth="1"/>
    <col min="5" max="5" width="15.54296875" customWidth="1"/>
    <col min="6" max="6" width="16.26953125" customWidth="1"/>
    <col min="7" max="7" width="15" customWidth="1"/>
    <col min="8" max="8" width="21.81640625" customWidth="1"/>
    <col min="9" max="9" width="19.453125" customWidth="1"/>
    <col min="10" max="10" width="21.54296875" customWidth="1"/>
    <col min="11" max="11" width="17.26953125" customWidth="1"/>
    <col min="13" max="13" width="16.90625" customWidth="1"/>
  </cols>
  <sheetData>
    <row r="1" spans="1:15" x14ac:dyDescent="0.35">
      <c r="A1" s="4" t="s">
        <v>7</v>
      </c>
      <c r="B1">
        <v>30000</v>
      </c>
      <c r="F1" s="5" t="s">
        <v>23</v>
      </c>
    </row>
    <row r="2" spans="1:15" x14ac:dyDescent="0.35">
      <c r="A2" s="4" t="s">
        <v>15</v>
      </c>
      <c r="B2">
        <v>10</v>
      </c>
    </row>
    <row r="3" spans="1:15" x14ac:dyDescent="0.35">
      <c r="A3" s="4" t="s">
        <v>12</v>
      </c>
      <c r="B3" s="8">
        <v>10</v>
      </c>
      <c r="C3" s="6"/>
    </row>
    <row r="4" spans="1:15" x14ac:dyDescent="0.35">
      <c r="A4" s="4" t="s">
        <v>8</v>
      </c>
      <c r="B4">
        <v>25</v>
      </c>
    </row>
    <row r="5" spans="1:15" x14ac:dyDescent="0.35">
      <c r="A5" s="4" t="s">
        <v>14</v>
      </c>
      <c r="B5">
        <v>200</v>
      </c>
    </row>
    <row r="6" spans="1:15" x14ac:dyDescent="0.35">
      <c r="A6" s="4" t="s">
        <v>11</v>
      </c>
      <c r="B6" s="7">
        <v>2.5</v>
      </c>
    </row>
    <row r="7" spans="1:15" x14ac:dyDescent="0.35">
      <c r="A7" s="4" t="s">
        <v>9</v>
      </c>
      <c r="B7" s="8">
        <v>7</v>
      </c>
      <c r="D7" s="1"/>
    </row>
    <row r="8" spans="1:15" x14ac:dyDescent="0.35">
      <c r="A8" s="4" t="s">
        <v>10</v>
      </c>
      <c r="B8" s="8">
        <v>25</v>
      </c>
      <c r="C8" s="10"/>
    </row>
    <row r="9" spans="1:15" x14ac:dyDescent="0.35">
      <c r="C9" s="5" t="s">
        <v>6</v>
      </c>
      <c r="D9" s="5"/>
      <c r="E9" s="5" t="s">
        <v>13</v>
      </c>
      <c r="F9" s="5"/>
      <c r="G9" s="5" t="s">
        <v>21</v>
      </c>
      <c r="H9" s="5"/>
      <c r="I9" s="5" t="s">
        <v>22</v>
      </c>
      <c r="J9" s="5"/>
      <c r="K9" s="5"/>
    </row>
    <row r="10" spans="1:15" x14ac:dyDescent="0.35">
      <c r="C10" t="s">
        <v>0</v>
      </c>
      <c r="D10" t="s">
        <v>1</v>
      </c>
      <c r="G10" t="s">
        <v>2</v>
      </c>
      <c r="H10" t="s">
        <v>1</v>
      </c>
      <c r="I10" t="s">
        <v>4</v>
      </c>
      <c r="J10" t="s">
        <v>3</v>
      </c>
      <c r="K10" t="s">
        <v>5</v>
      </c>
    </row>
    <row r="11" spans="1:15" x14ac:dyDescent="0.35">
      <c r="C11" s="1">
        <v>396.45221064528579</v>
      </c>
      <c r="D11" s="1">
        <f>C11*12</f>
        <v>4757.4265277434297</v>
      </c>
      <c r="E11" s="1">
        <v>25</v>
      </c>
      <c r="F11">
        <f>E11*12</f>
        <v>300</v>
      </c>
      <c r="G11" s="1">
        <v>200</v>
      </c>
      <c r="H11" s="1">
        <f>G11*12</f>
        <v>2400</v>
      </c>
      <c r="I11" s="1">
        <f>C11+E11-G11</f>
        <v>221.45221064528579</v>
      </c>
      <c r="J11" s="1">
        <f>I11*12</f>
        <v>2657.4265277434297</v>
      </c>
      <c r="K11" s="1">
        <v>2843.4463846854701</v>
      </c>
      <c r="N11" s="2"/>
      <c r="O11" s="2"/>
    </row>
    <row r="12" spans="1:15" x14ac:dyDescent="0.35">
      <c r="B12" s="1"/>
      <c r="C12" s="1">
        <v>396.45221064528579</v>
      </c>
      <c r="D12" s="1">
        <f>C12*12</f>
        <v>4757.4265277434297</v>
      </c>
      <c r="E12" s="1">
        <v>25.624999999999996</v>
      </c>
      <c r="F12" s="1">
        <f t="shared" ref="F12:F35" si="0">E12*12</f>
        <v>307.49999999999994</v>
      </c>
      <c r="G12" s="1">
        <v>204.99999999999997</v>
      </c>
      <c r="H12" s="1">
        <f>G12*12</f>
        <v>2459.9999999999995</v>
      </c>
      <c r="I12" s="1">
        <f>C12+E12-G12</f>
        <v>217.07721064528582</v>
      </c>
      <c r="J12" s="1">
        <f>I12*12</f>
        <v>2604.9265277434297</v>
      </c>
      <c r="K12" s="1">
        <v>5630.71776937094</v>
      </c>
      <c r="N12" s="2">
        <f>SUM(J11:J17)</f>
        <v>17452.382386074129</v>
      </c>
      <c r="O12" s="2"/>
    </row>
    <row r="13" spans="1:15" x14ac:dyDescent="0.35">
      <c r="C13" s="1">
        <v>396.45221064528579</v>
      </c>
      <c r="D13" s="1">
        <f>C13*12</f>
        <v>4757.4265277434297</v>
      </c>
      <c r="E13" s="1">
        <v>26.265624999999996</v>
      </c>
      <c r="F13" s="1">
        <f t="shared" si="0"/>
        <v>315.18749999999994</v>
      </c>
      <c r="G13" s="1">
        <v>210.12499999999997</v>
      </c>
      <c r="H13" s="1">
        <f>G13*12</f>
        <v>2521.4999999999995</v>
      </c>
      <c r="I13" s="1">
        <f t="shared" ref="I13:I20" si="1">C13+E13-G13</f>
        <v>212.59283564528582</v>
      </c>
      <c r="J13" s="1">
        <f>I13*12</f>
        <v>2551.1140277434297</v>
      </c>
      <c r="K13" s="1">
        <v>8360.4097790564101</v>
      </c>
      <c r="N13" s="2"/>
      <c r="O13" s="2"/>
    </row>
    <row r="14" spans="1:15" x14ac:dyDescent="0.35">
      <c r="C14" s="1">
        <v>396.45221064528579</v>
      </c>
      <c r="D14" s="1">
        <f>C14*12</f>
        <v>4757.4265277434297</v>
      </c>
      <c r="E14" s="1">
        <v>26.922265624999991</v>
      </c>
      <c r="F14" s="1">
        <f t="shared" si="0"/>
        <v>323.06718749999987</v>
      </c>
      <c r="G14" s="1">
        <v>215.37812499999993</v>
      </c>
      <c r="H14" s="1">
        <f>G14*12</f>
        <v>2584.537499999999</v>
      </c>
      <c r="I14" s="1">
        <f t="shared" si="1"/>
        <v>207.99635127028583</v>
      </c>
      <c r="J14" s="1">
        <f>I14*12</f>
        <v>2495.9562152434301</v>
      </c>
      <c r="K14" s="1">
        <v>11031.082929366879</v>
      </c>
      <c r="N14" s="2"/>
      <c r="O14" s="2"/>
    </row>
    <row r="15" spans="1:15" x14ac:dyDescent="0.35">
      <c r="C15" s="1">
        <v>396.45221064528579</v>
      </c>
      <c r="D15" s="1">
        <f>C15*12</f>
        <v>4757.4265277434297</v>
      </c>
      <c r="E15" s="1">
        <v>27.59532226562499</v>
      </c>
      <c r="F15" s="1">
        <f t="shared" si="0"/>
        <v>331.14386718749989</v>
      </c>
      <c r="G15" s="1">
        <v>220.76257812499992</v>
      </c>
      <c r="H15" s="1">
        <f>G15*12</f>
        <v>2649.1509374999991</v>
      </c>
      <c r="I15" s="1">
        <f t="shared" si="1"/>
        <v>203.28495478591086</v>
      </c>
      <c r="J15" s="1">
        <f>I15*12</f>
        <v>2439.4194574309304</v>
      </c>
      <c r="K15" s="1">
        <v>13641.261748817975</v>
      </c>
      <c r="N15" s="2"/>
      <c r="O15" s="2"/>
    </row>
    <row r="16" spans="1:15" x14ac:dyDescent="0.35">
      <c r="C16" s="1">
        <v>396.45221064528579</v>
      </c>
      <c r="D16" s="1">
        <f>C16*12</f>
        <v>4757.4265277434297</v>
      </c>
      <c r="E16" s="1">
        <v>28.285205322265611</v>
      </c>
      <c r="F16" s="1">
        <f t="shared" si="0"/>
        <v>339.42246386718733</v>
      </c>
      <c r="G16" s="1">
        <v>226.28164257812489</v>
      </c>
      <c r="H16" s="1">
        <f>G16*12</f>
        <v>2715.3797109374987</v>
      </c>
      <c r="I16" s="1">
        <f t="shared" si="1"/>
        <v>198.4557733894265</v>
      </c>
      <c r="J16" s="1">
        <f>I16*12</f>
        <v>2381.4692806731182</v>
      </c>
      <c r="K16" s="1">
        <v>16189.433879138211</v>
      </c>
      <c r="N16" s="2"/>
      <c r="O16" s="2"/>
    </row>
    <row r="17" spans="3:15" x14ac:dyDescent="0.35">
      <c r="C17" s="1">
        <v>396.45221064528579</v>
      </c>
      <c r="D17" s="1">
        <f>C17*12</f>
        <v>4757.4265277434297</v>
      </c>
      <c r="E17" s="1">
        <v>28.992335455322248</v>
      </c>
      <c r="F17" s="1">
        <f t="shared" si="0"/>
        <v>347.90802546386698</v>
      </c>
      <c r="G17" s="1">
        <v>231.93868364257798</v>
      </c>
      <c r="H17" s="1">
        <f>G17*12</f>
        <v>2783.2642037109358</v>
      </c>
      <c r="I17" s="1">
        <f t="shared" si="1"/>
        <v>193.50586245803004</v>
      </c>
      <c r="J17" s="1">
        <f>I17*12</f>
        <v>2322.0703494963604</v>
      </c>
      <c r="K17" s="1">
        <v>18674.049153099317</v>
      </c>
      <c r="N17" s="2"/>
      <c r="O17" s="2"/>
    </row>
    <row r="18" spans="3:15" x14ac:dyDescent="0.35">
      <c r="C18" s="1">
        <v>396.45221064528579</v>
      </c>
      <c r="D18" s="1">
        <f>C18*12</f>
        <v>4757.4265277434297</v>
      </c>
      <c r="E18" s="1">
        <v>29.717143841705308</v>
      </c>
      <c r="F18" s="1">
        <f t="shared" si="0"/>
        <v>356.6057261004637</v>
      </c>
      <c r="G18" s="1">
        <v>237.73715073364247</v>
      </c>
      <c r="H18" s="1">
        <f>G18*12</f>
        <v>2852.8458088037096</v>
      </c>
      <c r="I18" s="1">
        <f t="shared" si="1"/>
        <v>188.43220375334863</v>
      </c>
      <c r="J18" s="1">
        <f>I18*12</f>
        <v>2261.1864450401836</v>
      </c>
      <c r="K18" s="1">
        <v>21093.518649292313</v>
      </c>
      <c r="N18" s="2"/>
      <c r="O18" s="2"/>
    </row>
    <row r="19" spans="3:15" x14ac:dyDescent="0.35">
      <c r="C19" s="1">
        <v>396.45221064528579</v>
      </c>
      <c r="D19" s="1">
        <f>C19*12</f>
        <v>4757.4265277434297</v>
      </c>
      <c r="E19" s="1">
        <v>30.460072437747932</v>
      </c>
      <c r="F19" s="1">
        <f t="shared" si="0"/>
        <v>365.52086925297522</v>
      </c>
      <c r="G19" s="1">
        <v>243.68057950198346</v>
      </c>
      <c r="H19" s="1">
        <f>G19*12</f>
        <v>2924.1669540238017</v>
      </c>
      <c r="I19" s="1">
        <f t="shared" si="1"/>
        <v>183.23170358105028</v>
      </c>
      <c r="J19" s="1">
        <f>I19*12</f>
        <v>2198.7804429726034</v>
      </c>
      <c r="K19" s="1">
        <v>23446.213723272998</v>
      </c>
      <c r="N19" s="2"/>
      <c r="O19" s="2"/>
    </row>
    <row r="20" spans="3:15" x14ac:dyDescent="0.35">
      <c r="C20" s="1">
        <v>396.45221064528579</v>
      </c>
      <c r="D20" s="1">
        <f>C20*12</f>
        <v>4757.4265277434297</v>
      </c>
      <c r="E20" s="1">
        <v>31.221574248691631</v>
      </c>
      <c r="F20" s="1">
        <f t="shared" si="0"/>
        <v>374.65889098429955</v>
      </c>
      <c r="G20" s="1">
        <v>249.77259398953305</v>
      </c>
      <c r="H20" s="1">
        <f>G20*12</f>
        <v>2997.2711278743964</v>
      </c>
      <c r="I20" s="1">
        <f t="shared" si="1"/>
        <v>177.90119090444438</v>
      </c>
      <c r="J20" s="1">
        <f>I20*12</f>
        <v>2134.8142908533327</v>
      </c>
      <c r="K20" s="1">
        <v>25730.465014486064</v>
      </c>
      <c r="N20" s="2"/>
      <c r="O20" s="2"/>
    </row>
    <row r="21" spans="3:15" x14ac:dyDescent="0.35">
      <c r="C21">
        <v>0</v>
      </c>
      <c r="D21">
        <f>C21*12</f>
        <v>0</v>
      </c>
      <c r="E21" s="1">
        <v>32.002113604908914</v>
      </c>
      <c r="F21" s="1">
        <f t="shared" si="0"/>
        <v>384.02536325890696</v>
      </c>
      <c r="G21" s="1">
        <v>256.01690883927131</v>
      </c>
      <c r="H21" s="1">
        <f>G21*12</f>
        <v>3072.2029060712557</v>
      </c>
      <c r="I21" s="2">
        <f>C21-G21</f>
        <v>-256.01690883927131</v>
      </c>
      <c r="J21" s="2">
        <f>I21*12</f>
        <v>-3072.2029060712557</v>
      </c>
      <c r="K21" s="9">
        <v>27531.597565500091</v>
      </c>
      <c r="N21" s="2"/>
      <c r="O21" s="2"/>
    </row>
    <row r="22" spans="3:15" x14ac:dyDescent="0.35">
      <c r="C22">
        <v>0</v>
      </c>
      <c r="D22">
        <f>C22*12</f>
        <v>0</v>
      </c>
      <c r="E22" s="1">
        <v>32.802166445031638</v>
      </c>
      <c r="F22" s="1">
        <f t="shared" si="0"/>
        <v>393.62599734037963</v>
      </c>
      <c r="G22" s="1">
        <v>262.4173315602531</v>
      </c>
      <c r="H22" s="1">
        <f>G22*12</f>
        <v>3149.007978723037</v>
      </c>
      <c r="I22" s="2">
        <f>C22-G22</f>
        <v>-262.4173315602531</v>
      </c>
      <c r="J22" s="2">
        <f>I22*12</f>
        <v>-3149.007978723037</v>
      </c>
      <c r="K22" s="9">
        <v>29458.8093950851</v>
      </c>
      <c r="N22" s="2"/>
      <c r="O22" s="2"/>
    </row>
    <row r="23" spans="3:15" x14ac:dyDescent="0.35">
      <c r="C23">
        <v>0</v>
      </c>
      <c r="D23">
        <f>C23*12</f>
        <v>0</v>
      </c>
      <c r="E23" s="1">
        <v>33.622220606157427</v>
      </c>
      <c r="F23" s="1">
        <f t="shared" si="0"/>
        <v>403.46664727388912</v>
      </c>
      <c r="G23" s="1">
        <v>268.97776484925942</v>
      </c>
      <c r="H23" s="1">
        <f>G23*12</f>
        <v>3227.733178191113</v>
      </c>
      <c r="I23" s="2">
        <f>C23-G23</f>
        <v>-268.97776484925942</v>
      </c>
      <c r="J23" s="2">
        <f>I23*12</f>
        <v>-3227.733178191113</v>
      </c>
      <c r="K23" s="9">
        <v>31520.926052741059</v>
      </c>
      <c r="N23" s="2"/>
      <c r="O23" s="2"/>
    </row>
    <row r="24" spans="3:15" x14ac:dyDescent="0.35">
      <c r="C24">
        <v>0</v>
      </c>
      <c r="D24">
        <f>C24*12</f>
        <v>0</v>
      </c>
      <c r="E24" s="1">
        <v>34.462776121311357</v>
      </c>
      <c r="F24" s="1">
        <f t="shared" si="0"/>
        <v>413.55331345573632</v>
      </c>
      <c r="G24" s="1">
        <v>275.70220897049086</v>
      </c>
      <c r="H24" s="1">
        <f>G24*12</f>
        <v>3308.4265076458905</v>
      </c>
      <c r="I24" s="2">
        <f>C24-G24</f>
        <v>-275.70220897049086</v>
      </c>
      <c r="J24" s="2">
        <f>I24*12</f>
        <v>-3308.4265076458905</v>
      </c>
      <c r="K24" s="9">
        <v>33727.390876432932</v>
      </c>
      <c r="N24" s="2"/>
      <c r="O24" s="2"/>
    </row>
    <row r="25" spans="3:15" x14ac:dyDescent="0.35">
      <c r="C25">
        <v>0</v>
      </c>
      <c r="D25">
        <f>C25*12</f>
        <v>0</v>
      </c>
      <c r="E25" s="1">
        <v>35.324345524344139</v>
      </c>
      <c r="F25" s="1">
        <f t="shared" si="0"/>
        <v>423.89214629212967</v>
      </c>
      <c r="G25" s="1">
        <v>282.59476419475311</v>
      </c>
      <c r="H25" s="1">
        <f>G25*12</f>
        <v>3391.1371703370373</v>
      </c>
      <c r="I25" s="2">
        <f>C25-G25</f>
        <v>-282.59476419475311</v>
      </c>
      <c r="J25" s="2">
        <f>I25*12</f>
        <v>-3391.1371703370373</v>
      </c>
      <c r="K25" s="9">
        <v>36088.30823778324</v>
      </c>
      <c r="N25" s="2"/>
      <c r="O25" s="2"/>
    </row>
    <row r="26" spans="3:15" x14ac:dyDescent="0.35">
      <c r="C26">
        <v>0</v>
      </c>
      <c r="D26">
        <f>C26*12</f>
        <v>0</v>
      </c>
      <c r="E26" s="1">
        <v>36.207454162452741</v>
      </c>
      <c r="F26" s="1">
        <f t="shared" si="0"/>
        <v>434.48944994943292</v>
      </c>
      <c r="G26" s="1">
        <v>289.65963329962193</v>
      </c>
      <c r="H26" s="1">
        <f>G26*12</f>
        <v>3475.9155995954634</v>
      </c>
      <c r="I26" s="2">
        <f>C26-G26</f>
        <v>-289.65963329962193</v>
      </c>
      <c r="J26" s="2">
        <f>I26*12</f>
        <v>-3475.9155995954634</v>
      </c>
      <c r="K26" s="9">
        <v>38614.489814428067</v>
      </c>
      <c r="N26" s="2"/>
      <c r="O26" s="2"/>
    </row>
    <row r="27" spans="3:15" x14ac:dyDescent="0.35">
      <c r="C27">
        <v>0</v>
      </c>
      <c r="D27">
        <f>C27*12</f>
        <v>0</v>
      </c>
      <c r="E27" s="1">
        <v>37.112640516514055</v>
      </c>
      <c r="F27" s="1">
        <f t="shared" si="0"/>
        <v>445.35168619816864</v>
      </c>
      <c r="G27" s="1">
        <v>296.90112413211244</v>
      </c>
      <c r="H27" s="1">
        <f>G27*12</f>
        <v>3562.8134895853491</v>
      </c>
      <c r="I27" s="2">
        <f>C27-G27</f>
        <v>-296.90112413211244</v>
      </c>
      <c r="J27" s="2">
        <f>I27*12</f>
        <v>-3562.8134895853491</v>
      </c>
      <c r="K27" s="9">
        <v>41317.504101438033</v>
      </c>
      <c r="N27" s="2"/>
      <c r="O27" s="2"/>
    </row>
    <row r="28" spans="3:15" x14ac:dyDescent="0.35">
      <c r="C28">
        <v>0</v>
      </c>
      <c r="D28">
        <f>C28*12</f>
        <v>0</v>
      </c>
      <c r="E28" s="1">
        <v>38.040456529426905</v>
      </c>
      <c r="F28" s="1">
        <f t="shared" si="0"/>
        <v>456.48547835312286</v>
      </c>
      <c r="G28" s="1">
        <v>304.32365223541524</v>
      </c>
      <c r="H28" s="1">
        <f>G28*12</f>
        <v>3651.8838268249829</v>
      </c>
      <c r="I28" s="2">
        <f>C28-G28</f>
        <v>-304.32365223541524</v>
      </c>
      <c r="J28" s="2">
        <f>I28*12</f>
        <v>-3651.8838268249829</v>
      </c>
      <c r="K28" s="9">
        <v>44209.729388538697</v>
      </c>
      <c r="N28" s="2"/>
      <c r="O28" s="2"/>
    </row>
    <row r="29" spans="3:15" x14ac:dyDescent="0.35">
      <c r="C29">
        <v>0</v>
      </c>
      <c r="D29">
        <f>C29*12</f>
        <v>0</v>
      </c>
      <c r="E29" s="1">
        <v>38.991467942662574</v>
      </c>
      <c r="F29" s="1">
        <f t="shared" si="0"/>
        <v>467.89761531195086</v>
      </c>
      <c r="G29" s="1">
        <v>311.93174354130059</v>
      </c>
      <c r="H29" s="1">
        <f>G29*12</f>
        <v>3743.1809224956069</v>
      </c>
      <c r="I29" s="2">
        <f>C29-G29</f>
        <v>-311.93174354130059</v>
      </c>
      <c r="J29" s="2">
        <f>I29*12</f>
        <v>-3743.1809224956069</v>
      </c>
      <c r="K29" s="9">
        <v>47304.410445736408</v>
      </c>
      <c r="N29" s="2"/>
      <c r="O29" s="2"/>
    </row>
    <row r="30" spans="3:15" x14ac:dyDescent="0.35">
      <c r="C30">
        <v>0</v>
      </c>
      <c r="D30">
        <f>C30*12</f>
        <v>0</v>
      </c>
      <c r="E30" s="1">
        <v>39.966254641229135</v>
      </c>
      <c r="F30" s="1">
        <f t="shared" si="0"/>
        <v>479.59505569474959</v>
      </c>
      <c r="G30" s="1">
        <v>319.73003712983308</v>
      </c>
      <c r="H30" s="1">
        <f>G30*12</f>
        <v>3836.7604455579967</v>
      </c>
      <c r="I30" s="2">
        <f>C30-G30</f>
        <v>-319.73003712983308</v>
      </c>
      <c r="J30" s="2">
        <f>I30*12</f>
        <v>-3836.7604455579967</v>
      </c>
      <c r="K30" s="9">
        <v>50615.719176937957</v>
      </c>
      <c r="N30" s="2"/>
      <c r="O30" s="2"/>
    </row>
    <row r="31" spans="3:15" x14ac:dyDescent="0.35">
      <c r="C31">
        <v>0</v>
      </c>
      <c r="D31">
        <f>C31*12</f>
        <v>0</v>
      </c>
      <c r="E31" s="1">
        <v>40.965411007259853</v>
      </c>
      <c r="F31" s="1">
        <f t="shared" si="0"/>
        <v>491.5849320871182</v>
      </c>
      <c r="G31" s="1">
        <v>327.72328805807882</v>
      </c>
      <c r="H31" s="1">
        <f>G31*12</f>
        <v>3932.6794566969456</v>
      </c>
      <c r="I31" s="2">
        <f>C31-G31</f>
        <v>-327.72328805807882</v>
      </c>
      <c r="J31" s="2">
        <f>I31*12</f>
        <v>-3932.6794566969456</v>
      </c>
      <c r="K31" s="9">
        <v>54158.819519323617</v>
      </c>
      <c r="N31" s="2"/>
      <c r="O31" s="2"/>
    </row>
    <row r="32" spans="3:15" x14ac:dyDescent="0.35">
      <c r="C32">
        <v>0</v>
      </c>
      <c r="D32">
        <f>C32*12</f>
        <v>0</v>
      </c>
      <c r="E32" s="1">
        <v>41.989546282441353</v>
      </c>
      <c r="F32" s="1">
        <f t="shared" si="0"/>
        <v>503.87455538929623</v>
      </c>
      <c r="G32" s="1">
        <v>335.91637025953082</v>
      </c>
      <c r="H32" s="1">
        <f>G32*12</f>
        <v>4030.9964431143699</v>
      </c>
      <c r="I32" s="2">
        <f>C32-G32</f>
        <v>-335.91637025953082</v>
      </c>
      <c r="J32" s="2">
        <f>I32*12</f>
        <v>-4030.9964431143699</v>
      </c>
      <c r="K32" s="9">
        <v>57949.936885676274</v>
      </c>
      <c r="N32" s="2"/>
      <c r="O32" s="2"/>
    </row>
    <row r="33" spans="1:16" x14ac:dyDescent="0.35">
      <c r="C33">
        <v>0</v>
      </c>
      <c r="D33">
        <f>C33*12</f>
        <v>0</v>
      </c>
      <c r="E33" s="1">
        <v>43.03928493950238</v>
      </c>
      <c r="F33" s="1">
        <f t="shared" si="0"/>
        <v>516.47141927402856</v>
      </c>
      <c r="G33" s="1">
        <v>344.31427951601904</v>
      </c>
      <c r="H33" s="1">
        <f>G33*12</f>
        <v>4131.7713541922285</v>
      </c>
      <c r="I33" s="2">
        <f>C33-G33</f>
        <v>-344.31427951601904</v>
      </c>
      <c r="J33" s="2">
        <f>I33*12</f>
        <v>-4131.7713541922285</v>
      </c>
      <c r="K33" s="9">
        <v>62006.432467673614</v>
      </c>
      <c r="N33" s="2"/>
      <c r="O33" s="2"/>
    </row>
    <row r="34" spans="1:16" x14ac:dyDescent="0.35">
      <c r="C34">
        <v>0</v>
      </c>
      <c r="D34">
        <f>C34*12</f>
        <v>0</v>
      </c>
      <c r="E34" s="1">
        <v>44.115267062989936</v>
      </c>
      <c r="F34" s="1">
        <f t="shared" si="0"/>
        <v>529.38320475587921</v>
      </c>
      <c r="G34" s="1">
        <v>352.92213650391949</v>
      </c>
      <c r="H34" s="1">
        <f>G34*12</f>
        <v>4235.0656380470336</v>
      </c>
      <c r="I34" s="2">
        <f>C34-G34</f>
        <v>-352.92213650391949</v>
      </c>
      <c r="J34" s="2">
        <f>I34*12</f>
        <v>-4235.0656380470336</v>
      </c>
      <c r="K34" s="9">
        <v>66346.882740410772</v>
      </c>
      <c r="O34" s="2"/>
    </row>
    <row r="35" spans="1:16" x14ac:dyDescent="0.35">
      <c r="C35">
        <v>0</v>
      </c>
      <c r="D35">
        <f>C35*12</f>
        <v>0</v>
      </c>
      <c r="E35" s="1">
        <v>45.218148739564676</v>
      </c>
      <c r="F35" s="1">
        <f t="shared" si="0"/>
        <v>542.61778487477613</v>
      </c>
      <c r="G35" s="1">
        <v>361.7451899165174</v>
      </c>
      <c r="H35" s="1">
        <f>G35*12</f>
        <v>4340.9422789982091</v>
      </c>
      <c r="I35" s="2">
        <f>C35-G35</f>
        <v>-361.7451899165174</v>
      </c>
      <c r="J35" s="2">
        <f>I35*12</f>
        <v>-4340.9422789982091</v>
      </c>
      <c r="K35" s="9">
        <v>70991.164532239534</v>
      </c>
      <c r="M35" s="1">
        <v>53243.373399179647</v>
      </c>
      <c r="O35" s="2"/>
    </row>
    <row r="36" spans="1:16" x14ac:dyDescent="0.35">
      <c r="C36" s="3" t="s">
        <v>18</v>
      </c>
      <c r="D36" s="11">
        <f>SUM(D11:D20)</f>
        <v>47574.265277434308</v>
      </c>
      <c r="E36" s="3" t="s">
        <v>18</v>
      </c>
      <c r="F36" s="11">
        <f>SUM(F11:F35)</f>
        <v>10247.329179865857</v>
      </c>
      <c r="G36" s="3" t="s">
        <v>18</v>
      </c>
      <c r="H36" s="11">
        <f>SUM(H11:H35)</f>
        <v>81978.63343892686</v>
      </c>
      <c r="I36" s="2"/>
      <c r="J36" s="2">
        <f>SUM(J11:J35)</f>
        <v>-31043.353631136266</v>
      </c>
      <c r="K36" t="s">
        <v>16</v>
      </c>
      <c r="M36" t="s">
        <v>17</v>
      </c>
      <c r="N36" s="2"/>
      <c r="O36" s="2"/>
    </row>
    <row r="38" spans="1:16" x14ac:dyDescent="0.35">
      <c r="M38" s="2">
        <f>M39*0.7</f>
        <v>0</v>
      </c>
    </row>
    <row r="39" spans="1:16" x14ac:dyDescent="0.35">
      <c r="C39" s="5"/>
      <c r="D39" s="4" t="s">
        <v>20</v>
      </c>
      <c r="E39" s="15">
        <f xml:space="preserve"> H36-(F36+D36)</f>
        <v>24157.038981626698</v>
      </c>
      <c r="G39" s="3"/>
      <c r="H39" s="4" t="s">
        <v>19</v>
      </c>
      <c r="I39" s="15">
        <f>M35-H36</f>
        <v>-28735.260039747212</v>
      </c>
      <c r="L39" s="2"/>
      <c r="M39" s="2"/>
    </row>
    <row r="40" spans="1:16" x14ac:dyDescent="0.3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P40" s="2">
        <v>39000</v>
      </c>
    </row>
    <row r="41" spans="1:16" x14ac:dyDescent="0.3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3"/>
    </row>
    <row r="42" spans="1:16" x14ac:dyDescent="0.3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</row>
    <row r="43" spans="1:16" x14ac:dyDescent="0.3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</row>
    <row r="44" spans="1:16" x14ac:dyDescent="0.35">
      <c r="A44" s="14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</row>
    <row r="45" spans="1:16" x14ac:dyDescent="0.35">
      <c r="A45" s="14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</row>
    <row r="46" spans="1:16" x14ac:dyDescent="0.35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</row>
    <row r="47" spans="1:16" x14ac:dyDescent="0.35">
      <c r="A47" s="14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</row>
    <row r="48" spans="1:16" x14ac:dyDescent="0.35">
      <c r="A48" s="14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</row>
    <row r="49" spans="1:14" x14ac:dyDescent="0.3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2"/>
    </row>
    <row r="50" spans="1:14" x14ac:dyDescent="0.35">
      <c r="N50" s="2"/>
    </row>
    <row r="51" spans="1:14" x14ac:dyDescent="0.35">
      <c r="N51" s="2"/>
    </row>
    <row r="52" spans="1:14" x14ac:dyDescent="0.35">
      <c r="N52" s="2"/>
    </row>
    <row r="53" spans="1:14" x14ac:dyDescent="0.35">
      <c r="N53" s="2"/>
    </row>
    <row r="54" spans="1:14" x14ac:dyDescent="0.35">
      <c r="N54" s="2"/>
    </row>
    <row r="55" spans="1:14" x14ac:dyDescent="0.35">
      <c r="N55" s="2"/>
    </row>
    <row r="56" spans="1:14" x14ac:dyDescent="0.35">
      <c r="N56" s="2">
        <f t="shared" ref="N50:N65" si="2">N55*1.08</f>
        <v>0</v>
      </c>
    </row>
    <row r="57" spans="1:14" x14ac:dyDescent="0.35">
      <c r="N57" s="2">
        <f t="shared" si="2"/>
        <v>0</v>
      </c>
    </row>
    <row r="58" spans="1:14" x14ac:dyDescent="0.35">
      <c r="N58" s="2">
        <f t="shared" si="2"/>
        <v>0</v>
      </c>
    </row>
    <row r="59" spans="1:14" x14ac:dyDescent="0.35">
      <c r="N59" s="2">
        <f t="shared" si="2"/>
        <v>0</v>
      </c>
    </row>
    <row r="60" spans="1:14" x14ac:dyDescent="0.35">
      <c r="N60" s="2">
        <f t="shared" si="2"/>
        <v>0</v>
      </c>
    </row>
    <row r="61" spans="1:14" x14ac:dyDescent="0.35">
      <c r="N61" s="2">
        <f t="shared" si="2"/>
        <v>0</v>
      </c>
    </row>
    <row r="62" spans="1:14" x14ac:dyDescent="0.35">
      <c r="N62" s="2">
        <f t="shared" si="2"/>
        <v>0</v>
      </c>
    </row>
    <row r="63" spans="1:14" x14ac:dyDescent="0.35">
      <c r="N63" s="2">
        <f t="shared" si="2"/>
        <v>0</v>
      </c>
    </row>
    <row r="64" spans="1:14" x14ac:dyDescent="0.35">
      <c r="N64" s="2">
        <f t="shared" si="2"/>
        <v>0</v>
      </c>
    </row>
    <row r="65" spans="14:14" x14ac:dyDescent="0.35">
      <c r="N65" s="2">
        <f t="shared" si="2"/>
        <v>0</v>
      </c>
    </row>
  </sheetData>
  <pageMargins left="0.7" right="0.7" top="0.75" bottom="0.75" header="0.3" footer="0.3"/>
  <pageSetup orientation="portrait" r:id="rId1"/>
  <ignoredErrors>
    <ignoredError sqref="I11:I20 I21:I3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alculateSolarInvestment">
                <anchor moveWithCells="1" sizeWithCells="1">
                  <from>
                    <xdr:col>2</xdr:col>
                    <xdr:colOff>717550</xdr:colOff>
                    <xdr:row>2</xdr:row>
                    <xdr:rowOff>127000</xdr:rowOff>
                  </from>
                  <to>
                    <xdr:col>3</xdr:col>
                    <xdr:colOff>749300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2C06D4D76FC2241BDA919512351DA4C" ma:contentTypeVersion="3" ma:contentTypeDescription="Create a new document." ma:contentTypeScope="" ma:versionID="7cdcab4904ea187f27e11804b43b3ddc">
  <xsd:schema xmlns:xsd="http://www.w3.org/2001/XMLSchema" xmlns:xs="http://www.w3.org/2001/XMLSchema" xmlns:p="http://schemas.microsoft.com/office/2006/metadata/properties" xmlns:ns3="10764577-9595-4243-a88f-546e38085d84" targetNamespace="http://schemas.microsoft.com/office/2006/metadata/properties" ma:root="true" ma:fieldsID="a92383f721a089375287ab34a180147d" ns3:_="">
    <xsd:import namespace="10764577-9595-4243-a88f-546e38085d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764577-9595-4243-a88f-546e38085d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747F26-35E1-41D5-98DB-B6E923E82D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764577-9595-4243-a88f-546e38085d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65CDDE-4DE8-4156-B3B5-7FD8DA3B75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AD3B22A-13F9-412C-A5B7-A99BC113100D}">
  <ds:schemaRefs>
    <ds:schemaRef ds:uri="10764577-9595-4243-a88f-546e38085d84"/>
    <ds:schemaRef ds:uri="http://purl.org/dc/dcmitype/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Storm</dc:creator>
  <cp:lastModifiedBy>Josh Storm</cp:lastModifiedBy>
  <dcterms:created xsi:type="dcterms:W3CDTF">2023-07-28T14:39:59Z</dcterms:created>
  <dcterms:modified xsi:type="dcterms:W3CDTF">2023-07-31T02:13:44Z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0x010100A2C06D4D76FC2241BDA919512351DA4C</vt:lpwstr>
  </property>
</Properties>
</file>